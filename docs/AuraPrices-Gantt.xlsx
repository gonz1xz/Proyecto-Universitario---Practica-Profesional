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eaf747e8a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66e796b1b3f3460f"/>
    <x:sheet xmlns:r="http://schemas.openxmlformats.org/officeDocument/2006/relationships" name="Cronograma" sheetId="2" r:id="Rc4f365b7c212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"/>
    <x:numFmt numFmtId="202" formatCode=";;;"/>
  </x:numFmts>
  <x:fonts count="7">
    <x:font>
      <x:sz val="11"/>
      <x:name val="Carlito"/>
    </x:font>
    <x:font>
      <x:sz val="11"/>
      <x:color rgb="FF243047"/>
      <x:name val="Arial"/>
    </x:font>
    <x:font>
      <x:b/>
      <x:sz val="16"/>
      <x:color rgb="FF7153B8"/>
      <x:name val="Arial"/>
    </x:font>
    <x:font>
      <x:b/>
      <x:sz val="11"/>
      <x:color rgb="FFFFFFFF"/>
      <x:name val="Arial"/>
    </x:font>
    <x:font>
      <x:i/>
      <x:sz val="11"/>
      <x:color rgb="FF556177"/>
      <x:name val="Arial"/>
    </x:font>
    <x:font>
      <x:sz val="10"/>
      <x:color rgb="FF556177"/>
      <x:name val="Arial"/>
    </x:font>
    <x:font>
      <x:sz val="11"/>
      <x:color rgb="FF5561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047"/>
      </x:patternFill>
    </x:fill>
    <x:fill>
      <x:patternFill patternType="solid">
        <x:fgColor rgb="FFF3F5F9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2" borderId="0" xfId="0" applyNumberFormat="1" applyFont="1" applyFill="1" applyBorder="1"/>
    <x:xf numFmtId="201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1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24836C"/>
        </x:patternFill>
      </x:fill>
    </x:dxf>
    <x:dxf>
      <x:fill>
        <x:patternFill patternType="solid">
          <x:bgColor rgb="FF7153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2a687f6544886" /><Relationship Type="http://schemas.openxmlformats.org/officeDocument/2006/relationships/theme" Target="/xl/theme/theme1.xml" Id="R615f078436294998" /><Relationship Type="http://schemas.openxmlformats.org/officeDocument/2006/relationships/sharedStrings" Target="/xl/sharedStrings.xml" Id="R6d28d9d2fab44b7e" /><Relationship Type="http://schemas.openxmlformats.org/officeDocument/2006/relationships/worksheet" Target="/xl/worksheets/sheet1.xml" Id="R66e796b1b3f3460f" /><Relationship Type="http://schemas.openxmlformats.org/officeDocument/2006/relationships/worksheet" Target="/xl/worksheets/sheet2.xml" Id="Rc4f365b7c212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153B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.130000114440918" hidden="0" customWidth="1"/>
    <x:col min="2" max="2" width="31.8799991607666" hidden="0" customWidth="1"/>
    <x:col min="3" max="3" width="13.130000114440918" hidden="0" customWidth="1"/>
    <x:col min="4" max="4" width="13.130000114440918" hidden="0" customWidth="1"/>
    <x:col min="5" max="5" width="6.880000114440918" hidden="0" customWidth="1"/>
    <x:col min="6" max="6" width="15" hidden="0" customWidth="1"/>
    <x:col min="7" max="7" width="5.880000114440918" hidden="0" customWidth="1"/>
    <x:col min="8" max="8" width="8.130000114440918" hidden="0" customWidth="1"/>
    <x:col min="9" max="9" width="8.130000114440918" hidden="0" customWidth="1"/>
    <x:col min="10" max="10" width="8.130000114440918" hidden="0" customWidth="1"/>
    <x:col min="11" max="11" width="8.130000114440918" hidden="0" customWidth="1"/>
    <x:col min="12" max="12" width="8.130000114440918" hidden="0" customWidth="1"/>
    <x:col min="13" max="13" width="8.130000114440918" hidden="0" customWidth="1"/>
    <x:col min="14" max="14" width="8.13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8.13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AuraPrices | Diagrama de Gantt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 t="str">
        <x:v>Plan de trabajo: 03/09 al 19/11/2026 | Entrega final: 19 de noviembre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5" t="str">
        <x:v>Verde: completada según la fuente. Violeta: actividad planificada. Detalle completo en Cronograma.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4" customHeight="1">
      <x:c r="A6" s="1"/>
      <x:c r="B6" s="1"/>
      <x:c r="C6" s="1"/>
      <x:c r="D6" s="1"/>
      <x:c r="E6" s="1"/>
      <x:c r="F6" s="1"/>
      <x:c r="G6" s="1"/>
      <x:c r="H6" s="22" t="str">
        <x:v>S1</x:v>
      </x:c>
      <x:c r="I6" s="22" t="str">
        <x:v>S2</x:v>
      </x:c>
      <x:c r="J6" s="22" t="str">
        <x:v>S3</x:v>
      </x:c>
      <x:c r="K6" s="22" t="str">
        <x:v>S4</x:v>
      </x:c>
      <x:c r="L6" s="22" t="str">
        <x:v>S5</x:v>
      </x:c>
      <x:c r="M6" s="22" t="str">
        <x:v>S6</x:v>
      </x:c>
      <x:c r="N6" s="22" t="str">
        <x:v>S7</x:v>
      </x:c>
      <x:c r="O6" s="22" t="str">
        <x:v>S8</x:v>
      </x:c>
      <x:c r="P6" s="22" t="str">
        <x:v>S9</x:v>
      </x:c>
      <x:c r="Q6" s="22" t="str">
        <x:v>S10</x:v>
      </x:c>
      <x:c r="R6" s="22" t="str">
        <x:v>S11</x:v>
      </x:c>
    </x:row>
    <x:row r="7" ht="24" customHeight="1">
      <x:c r="A7" s="1"/>
      <x:c r="B7" s="1"/>
      <x:c r="C7" s="1"/>
      <x:c r="D7" s="1"/>
      <x:c r="E7" s="1"/>
      <x:c r="F7" s="1"/>
      <x:c r="G7" s="17" t="str">
        <x:v>Inicio</x:v>
      </x:c>
      <x:c r="H7" s="23" t="d">
        <x:v>2026-09-03T00:00:00.000Z</x:v>
      </x:c>
      <x:c r="I7" s="23" t="d">
        <x:v>2026-09-10T00:00:00.000Z</x:v>
      </x:c>
      <x:c r="J7" s="23" t="d">
        <x:v>2026-09-17T00:00:00.000Z</x:v>
      </x:c>
      <x:c r="K7" s="23" t="d">
        <x:v>2026-09-24T00:00:00.000Z</x:v>
      </x:c>
      <x:c r="L7" s="23" t="d">
        <x:v>2026-10-01T00:00:00.000Z</x:v>
      </x:c>
      <x:c r="M7" s="23" t="d">
        <x:v>2026-10-08T00:00:00.000Z</x:v>
      </x:c>
      <x:c r="N7" s="23" t="d">
        <x:v>2026-10-15T00:00:00.000Z</x:v>
      </x:c>
      <x:c r="O7" s="23" t="d">
        <x:v>2026-10-22T00:00:00.000Z</x:v>
      </x:c>
      <x:c r="P7" s="23" t="d">
        <x:v>2026-10-29T00:00:00.000Z</x:v>
      </x:c>
      <x:c r="Q7" s="23" t="d">
        <x:v>2026-11-05T00:00:00.000Z</x:v>
      </x:c>
      <x:c r="R7" s="23" t="d">
        <x:v>2026-11-12T00:00:00.000Z</x:v>
      </x:c>
    </x:row>
    <x:row r="8" ht="32" customHeight="1">
      <x:c r="A8" s="22" t="str">
        <x:v>Semana</x:v>
      </x:c>
      <x:c r="B8" s="22" t="str">
        <x:v>Actividad</x:v>
      </x:c>
      <x:c r="C8" s="22" t="str">
        <x:v>Inicio</x:v>
      </x:c>
      <x:c r="D8" s="22" t="str">
        <x:v>Fin / límite</x:v>
      </x:c>
      <x:c r="E8" s="22" t="str">
        <x:v>Días</x:v>
      </x:c>
      <x:c r="F8" s="22" t="str">
        <x:v>Estado (fuente)</x:v>
      </x:c>
      <x:c r="G8" s="17" t="str">
        <x:v>Fin</x:v>
      </x:c>
      <x:c r="H8" s="23" t="d">
        <x:v>2026-09-10T00:00:00.000Z</x:v>
      </x:c>
      <x:c r="I8" s="23" t="d">
        <x:v>2026-09-17T00:00:00.000Z</x:v>
      </x:c>
      <x:c r="J8" s="23" t="d">
        <x:v>2026-09-24T00:00:00.000Z</x:v>
      </x:c>
      <x:c r="K8" s="23" t="d">
        <x:v>2026-10-01T00:00:00.000Z</x:v>
      </x:c>
      <x:c r="L8" s="23" t="d">
        <x:v>2026-10-08T00:00:00.000Z</x:v>
      </x:c>
      <x:c r="M8" s="23" t="d">
        <x:v>2026-10-15T00:00:00.000Z</x:v>
      </x:c>
      <x:c r="N8" s="23" t="d">
        <x:v>2026-10-22T00:00:00.000Z</x:v>
      </x:c>
      <x:c r="O8" s="23" t="d">
        <x:v>2026-10-29T00:00:00.000Z</x:v>
      </x:c>
      <x:c r="P8" s="23" t="d">
        <x:v>2026-11-05T00:00:00.000Z</x:v>
      </x:c>
      <x:c r="Q8" s="23" t="d">
        <x:v>2026-11-12T00:00:00.000Z</x:v>
      </x:c>
      <x:c r="R8" s="23" t="d">
        <x:v>2026-11-19T00:00:00.000Z</x:v>
      </x:c>
    </x:row>
    <x:row r="9" ht="46" customHeight="1">
      <x:c r="A9" s="35" t="n">
        <x:f>Cronograma!A7</x:f>
        <x:v>1</x:v>
      </x:c>
      <x:c r="B9" s="13" t="str">
        <x:f>Cronograma!B7</x:f>
        <x:v>Relevamiento y requisitos</x:v>
      </x:c>
      <x:c r="C9" s="14" t="n">
        <x:f>Cronograma!C7</x:f>
        <x:v>46268</x:v>
      </x:c>
      <x:c r="D9" s="14" t="n">
        <x:f>Cronograma!D7</x:f>
        <x:v>46275</x:v>
      </x:c>
      <x:c r="E9" s="12" t="n">
        <x:f>Cronograma!E7</x:f>
        <x:v>7</x:v>
      </x:c>
      <x:c r="F9" s="12" t="str">
        <x:f>IF(Cronograma!F7="Completada","Completada","Planificada")</x:f>
        <x:v>Completada</x:v>
      </x:c>
      <x:c r="G9" s="9"/>
      <x:c r="H9" s="31" t="n">
        <x:f>IF(AND($C9&lt;H$8,$D9&gt;H$7),1,0)</x:f>
        <x:v>1</x:v>
      </x:c>
      <x:c r="I9" s="31" t="n">
        <x:f>IF(AND($C9&lt;I$8,$D9&gt;I$7),1,0)</x:f>
        <x:v>0</x:v>
      </x:c>
      <x:c r="J9" s="31" t="n">
        <x:f>IF(AND($C9&lt;J$8,$D9&gt;J$7),1,0)</x:f>
        <x:v>0</x:v>
      </x:c>
      <x:c r="K9" s="31" t="n">
        <x:f>IF(AND($C9&lt;K$8,$D9&gt;K$7),1,0)</x:f>
        <x:v>0</x:v>
      </x:c>
      <x:c r="L9" s="31" t="n">
        <x:f>IF(AND($C9&lt;L$8,$D9&gt;L$7),1,0)</x:f>
        <x:v>0</x:v>
      </x:c>
      <x:c r="M9" s="31" t="n">
        <x:f>IF(AND($C9&lt;M$8,$D9&gt;M$7),1,0)</x:f>
        <x:v>0</x:v>
      </x:c>
      <x:c r="N9" s="31" t="n">
        <x:f>IF(AND($C9&lt;N$8,$D9&gt;N$7),1,0)</x:f>
        <x:v>0</x:v>
      </x:c>
      <x:c r="O9" s="31" t="n">
        <x:f>IF(AND($C9&lt;O$8,$D9&gt;O$7),1,0)</x:f>
        <x:v>0</x:v>
      </x:c>
      <x:c r="P9" s="31" t="n">
        <x:f>IF(AND($C9&lt;P$8,$D9&gt;P$7),1,0)</x:f>
        <x:v>0</x:v>
      </x:c>
      <x:c r="Q9" s="31" t="n">
        <x:f>IF(AND($C9&lt;Q$8,$D9&gt;Q$7),1,0)</x:f>
        <x:v>0</x:v>
      </x:c>
      <x:c r="R9" s="31" t="n">
        <x:f>IF(AND($C9&lt;R$8,$D9&gt;R$7),1,0)</x:f>
        <x:v>0</x:v>
      </x:c>
    </x:row>
    <x:row r="10" ht="46" customHeight="1">
      <x:c r="A10" s="36" t="n">
        <x:f>Cronograma!A8</x:f>
        <x:v>2</x:v>
      </x:c>
      <x:c r="B10" s="33" t="str">
        <x:f>Cronograma!B8</x:f>
        <x:v>Arquitectura y stack</x:v>
      </x:c>
      <x:c r="C10" s="34" t="n">
        <x:f>Cronograma!C8</x:f>
        <x:v>46275</x:v>
      </x:c>
      <x:c r="D10" s="34" t="n">
        <x:f>Cronograma!D8</x:f>
        <x:v>46282</x:v>
      </x:c>
      <x:c r="E10" s="32" t="n">
        <x:f>Cronograma!E8</x:f>
        <x:v>7</x:v>
      </x:c>
      <x:c r="F10" s="32" t="str">
        <x:f>IF(Cronograma!F8="Completada","Completada","Planificada")</x:f>
        <x:v>Completada</x:v>
      </x:c>
      <x:c r="G10" s="9"/>
      <x:c r="H10" s="31" t="n">
        <x:f>IF(AND($C10&lt;H$8,$D10&gt;H$7),1,0)</x:f>
        <x:v>0</x:v>
      </x:c>
      <x:c r="I10" s="31" t="n">
        <x:f>IF(AND($C10&lt;I$8,$D10&gt;I$7),1,0)</x:f>
        <x:v>1</x:v>
      </x:c>
      <x:c r="J10" s="31" t="n">
        <x:f>IF(AND($C10&lt;J$8,$D10&gt;J$7),1,0)</x:f>
        <x:v>0</x:v>
      </x:c>
      <x:c r="K10" s="31" t="n">
        <x:f>IF(AND($C10&lt;K$8,$D10&gt;K$7),1,0)</x:f>
        <x:v>0</x:v>
      </x:c>
      <x:c r="L10" s="31" t="n">
        <x:f>IF(AND($C10&lt;L$8,$D10&gt;L$7),1,0)</x:f>
        <x:v>0</x:v>
      </x:c>
      <x:c r="M10" s="31" t="n">
        <x:f>IF(AND($C10&lt;M$8,$D10&gt;M$7),1,0)</x:f>
        <x:v>0</x:v>
      </x:c>
      <x:c r="N10" s="31" t="n">
        <x:f>IF(AND($C10&lt;N$8,$D10&gt;N$7),1,0)</x:f>
        <x:v>0</x:v>
      </x:c>
      <x:c r="O10" s="31" t="n">
        <x:f>IF(AND($C10&lt;O$8,$D10&gt;O$7),1,0)</x:f>
        <x:v>0</x:v>
      </x:c>
      <x:c r="P10" s="31" t="n">
        <x:f>IF(AND($C10&lt;P$8,$D10&gt;P$7),1,0)</x:f>
        <x:v>0</x:v>
      </x:c>
      <x:c r="Q10" s="31" t="n">
        <x:f>IF(AND($C10&lt;Q$8,$D10&gt;Q$7),1,0)</x:f>
        <x:v>0</x:v>
      </x:c>
      <x:c r="R10" s="31" t="n">
        <x:f>IF(AND($C10&lt;R$8,$D10&gt;R$7),1,0)</x:f>
        <x:v>0</x:v>
      </x:c>
    </x:row>
    <x:row r="11" ht="46" customHeight="1">
      <x:c r="A11" s="35" t="n">
        <x:f>Cronograma!A9</x:f>
        <x:v>3</x:v>
      </x:c>
      <x:c r="B11" s="13" t="str">
        <x:f>Cronograma!B9</x:f>
        <x:v>Backend e integración ITAD</x:v>
      </x:c>
      <x:c r="C11" s="14" t="n">
        <x:f>Cronograma!C9</x:f>
        <x:v>46282</x:v>
      </x:c>
      <x:c r="D11" s="14" t="n">
        <x:f>Cronograma!D9</x:f>
        <x:v>46289</x:v>
      </x:c>
      <x:c r="E11" s="12" t="n">
        <x:f>Cronograma!E9</x:f>
        <x:v>7</x:v>
      </x:c>
      <x:c r="F11" s="12" t="str">
        <x:f>IF(Cronograma!F9="Completada","Completada","Planificada")</x:f>
        <x:v>Completada</x:v>
      </x:c>
      <x:c r="G11" s="9"/>
      <x:c r="H11" s="31" t="n">
        <x:f>IF(AND($C11&lt;H$8,$D11&gt;H$7),1,0)</x:f>
        <x:v>0</x:v>
      </x:c>
      <x:c r="I11" s="31" t="n">
        <x:f>IF(AND($C11&lt;I$8,$D11&gt;I$7),1,0)</x:f>
        <x:v>0</x:v>
      </x:c>
      <x:c r="J11" s="31" t="n">
        <x:f>IF(AND($C11&lt;J$8,$D11&gt;J$7),1,0)</x:f>
        <x:v>1</x:v>
      </x:c>
      <x:c r="K11" s="31" t="n">
        <x:f>IF(AND($C11&lt;K$8,$D11&gt;K$7),1,0)</x:f>
        <x:v>0</x:v>
      </x:c>
      <x:c r="L11" s="31" t="n">
        <x:f>IF(AND($C11&lt;L$8,$D11&gt;L$7),1,0)</x:f>
        <x:v>0</x:v>
      </x:c>
      <x:c r="M11" s="31" t="n">
        <x:f>IF(AND($C11&lt;M$8,$D11&gt;M$7),1,0)</x:f>
        <x:v>0</x:v>
      </x:c>
      <x:c r="N11" s="31" t="n">
        <x:f>IF(AND($C11&lt;N$8,$D11&gt;N$7),1,0)</x:f>
        <x:v>0</x:v>
      </x:c>
      <x:c r="O11" s="31" t="n">
        <x:f>IF(AND($C11&lt;O$8,$D11&gt;O$7),1,0)</x:f>
        <x:v>0</x:v>
      </x:c>
      <x:c r="P11" s="31" t="n">
        <x:f>IF(AND($C11&lt;P$8,$D11&gt;P$7),1,0)</x:f>
        <x:v>0</x:v>
      </x:c>
      <x:c r="Q11" s="31" t="n">
        <x:f>IF(AND($C11&lt;Q$8,$D11&gt;Q$7),1,0)</x:f>
        <x:v>0</x:v>
      </x:c>
      <x:c r="R11" s="31" t="n">
        <x:f>IF(AND($C11&lt;R$8,$D11&gt;R$7),1,0)</x:f>
        <x:v>0</x:v>
      </x:c>
    </x:row>
    <x:row r="12" ht="46" customHeight="1">
      <x:c r="A12" s="36" t="n">
        <x:f>Cronograma!A10</x:f>
        <x:v>4</x:v>
      </x:c>
      <x:c r="B12" s="33" t="str">
        <x:f>Cronograma!B10</x:f>
        <x:v>API, base de datos y Prisma</x:v>
      </x:c>
      <x:c r="C12" s="34" t="n">
        <x:f>Cronograma!C10</x:f>
        <x:v>46289</x:v>
      </x:c>
      <x:c r="D12" s="34" t="n">
        <x:f>Cronograma!D10</x:f>
        <x:v>46296</x:v>
      </x:c>
      <x:c r="E12" s="32" t="n">
        <x:f>Cronograma!E10</x:f>
        <x:v>7</x:v>
      </x:c>
      <x:c r="F12" s="32" t="str">
        <x:f>IF(Cronograma!F10="Completada","Completada","Planificada")</x:f>
        <x:v>Completada</x:v>
      </x:c>
      <x:c r="G12" s="9"/>
      <x:c r="H12" s="31" t="n">
        <x:f>IF(AND($C12&lt;H$8,$D12&gt;H$7),1,0)</x:f>
        <x:v>0</x:v>
      </x:c>
      <x:c r="I12" s="31" t="n">
        <x:f>IF(AND($C12&lt;I$8,$D12&gt;I$7),1,0)</x:f>
        <x:v>0</x:v>
      </x:c>
      <x:c r="J12" s="31" t="n">
        <x:f>IF(AND($C12&lt;J$8,$D12&gt;J$7),1,0)</x:f>
        <x:v>0</x:v>
      </x:c>
      <x:c r="K12" s="31" t="n">
        <x:f>IF(AND($C12&lt;K$8,$D12&gt;K$7),1,0)</x:f>
        <x:v>1</x:v>
      </x:c>
      <x:c r="L12" s="31" t="n">
        <x:f>IF(AND($C12&lt;L$8,$D12&gt;L$7),1,0)</x:f>
        <x:v>0</x:v>
      </x:c>
      <x:c r="M12" s="31" t="n">
        <x:f>IF(AND($C12&lt;M$8,$D12&gt;M$7),1,0)</x:f>
        <x:v>0</x:v>
      </x:c>
      <x:c r="N12" s="31" t="n">
        <x:f>IF(AND($C12&lt;N$8,$D12&gt;N$7),1,0)</x:f>
        <x:v>0</x:v>
      </x:c>
      <x:c r="O12" s="31" t="n">
        <x:f>IF(AND($C12&lt;O$8,$D12&gt;O$7),1,0)</x:f>
        <x:v>0</x:v>
      </x:c>
      <x:c r="P12" s="31" t="n">
        <x:f>IF(AND($C12&lt;P$8,$D12&gt;P$7),1,0)</x:f>
        <x:v>0</x:v>
      </x:c>
      <x:c r="Q12" s="31" t="n">
        <x:f>IF(AND($C12&lt;Q$8,$D12&gt;Q$7),1,0)</x:f>
        <x:v>0</x:v>
      </x:c>
      <x:c r="R12" s="31" t="n">
        <x:f>IF(AND($C12&lt;R$8,$D12&gt;R$7),1,0)</x:f>
        <x:v>0</x:v>
      </x:c>
    </x:row>
    <x:row r="13" ht="46" customHeight="1">
      <x:c r="A13" s="35" t="n">
        <x:f>Cronograma!A11</x:f>
        <x:v>5</x:v>
      </x:c>
      <x:c r="B13" s="13" t="str">
        <x:f>Cronograma!B11</x:f>
        <x:v>Frontend y buscador</x:v>
      </x:c>
      <x:c r="C13" s="14" t="n">
        <x:f>Cronograma!C11</x:f>
        <x:v>46296</x:v>
      </x:c>
      <x:c r="D13" s="14" t="n">
        <x:f>Cronograma!D11</x:f>
        <x:v>46303</x:v>
      </x:c>
      <x:c r="E13" s="12" t="n">
        <x:f>Cronograma!E11</x:f>
        <x:v>7</x:v>
      </x:c>
      <x:c r="F13" s="12" t="str">
        <x:f>IF(Cronograma!F11="Completada","Completada","Planificada")</x:f>
        <x:v>Completada</x:v>
      </x:c>
      <x:c r="G13" s="9"/>
      <x:c r="H13" s="31" t="n">
        <x:f>IF(AND($C13&lt;H$8,$D13&gt;H$7),1,0)</x:f>
        <x:v>0</x:v>
      </x:c>
      <x:c r="I13" s="31" t="n">
        <x:f>IF(AND($C13&lt;I$8,$D13&gt;I$7),1,0)</x:f>
        <x:v>0</x:v>
      </x:c>
      <x:c r="J13" s="31" t="n">
        <x:f>IF(AND($C13&lt;J$8,$D13&gt;J$7),1,0)</x:f>
        <x:v>0</x:v>
      </x:c>
      <x:c r="K13" s="31" t="n">
        <x:f>IF(AND($C13&lt;K$8,$D13&gt;K$7),1,0)</x:f>
        <x:v>0</x:v>
      </x:c>
      <x:c r="L13" s="31" t="n">
        <x:f>IF(AND($C13&lt;L$8,$D13&gt;L$7),1,0)</x:f>
        <x:v>1</x:v>
      </x:c>
      <x:c r="M13" s="31" t="n">
        <x:f>IF(AND($C13&lt;M$8,$D13&gt;M$7),1,0)</x:f>
        <x:v>0</x:v>
      </x:c>
      <x:c r="N13" s="31" t="n">
        <x:f>IF(AND($C13&lt;N$8,$D13&gt;N$7),1,0)</x:f>
        <x:v>0</x:v>
      </x:c>
      <x:c r="O13" s="31" t="n">
        <x:f>IF(AND($C13&lt;O$8,$D13&gt;O$7),1,0)</x:f>
        <x:v>0</x:v>
      </x:c>
      <x:c r="P13" s="31" t="n">
        <x:f>IF(AND($C13&lt;P$8,$D13&gt;P$7),1,0)</x:f>
        <x:v>0</x:v>
      </x:c>
      <x:c r="Q13" s="31" t="n">
        <x:f>IF(AND($C13&lt;Q$8,$D13&gt;Q$7),1,0)</x:f>
        <x:v>0</x:v>
      </x:c>
      <x:c r="R13" s="31" t="n">
        <x:f>IF(AND($C13&lt;R$8,$D13&gt;R$7),1,0)</x:f>
        <x:v>0</x:v>
      </x:c>
    </x:row>
    <x:row r="14" ht="46" customHeight="1">
      <x:c r="A14" s="36" t="n">
        <x:f>Cronograma!A12</x:f>
        <x:v>6</x:v>
      </x:c>
      <x:c r="B14" s="33" t="str">
        <x:f>Cronograma!B12</x:f>
        <x:v>Resultados y comparación</x:v>
      </x:c>
      <x:c r="C14" s="34" t="n">
        <x:f>Cronograma!C12</x:f>
        <x:v>46303</x:v>
      </x:c>
      <x:c r="D14" s="34" t="n">
        <x:f>Cronograma!D12</x:f>
        <x:v>46310</x:v>
      </x:c>
      <x:c r="E14" s="32" t="n">
        <x:f>Cronograma!E12</x:f>
        <x:v>7</x:v>
      </x:c>
      <x:c r="F14" s="32" t="str">
        <x:f>IF(Cronograma!F12="Completada","Completada","Planificada")</x:f>
        <x:v>Completada</x:v>
      </x:c>
      <x:c r="G14" s="9"/>
      <x:c r="H14" s="31" t="n">
        <x:f>IF(AND($C14&lt;H$8,$D14&gt;H$7),1,0)</x:f>
        <x:v>0</x:v>
      </x:c>
      <x:c r="I14" s="31" t="n">
        <x:f>IF(AND($C14&lt;I$8,$D14&gt;I$7),1,0)</x:f>
        <x:v>0</x:v>
      </x:c>
      <x:c r="J14" s="31" t="n">
        <x:f>IF(AND($C14&lt;J$8,$D14&gt;J$7),1,0)</x:f>
        <x:v>0</x:v>
      </x:c>
      <x:c r="K14" s="31" t="n">
        <x:f>IF(AND($C14&lt;K$8,$D14&gt;K$7),1,0)</x:f>
        <x:v>0</x:v>
      </x:c>
      <x:c r="L14" s="31" t="n">
        <x:f>IF(AND($C14&lt;L$8,$D14&gt;L$7),1,0)</x:f>
        <x:v>0</x:v>
      </x:c>
      <x:c r="M14" s="31" t="n">
        <x:f>IF(AND($C14&lt;M$8,$D14&gt;M$7),1,0)</x:f>
        <x:v>1</x:v>
      </x:c>
      <x:c r="N14" s="31" t="n">
        <x:f>IF(AND($C14&lt;N$8,$D14&gt;N$7),1,0)</x:f>
        <x:v>0</x:v>
      </x:c>
      <x:c r="O14" s="31" t="n">
        <x:f>IF(AND($C14&lt;O$8,$D14&gt;O$7),1,0)</x:f>
        <x:v>0</x:v>
      </x:c>
      <x:c r="P14" s="31" t="n">
        <x:f>IF(AND($C14&lt;P$8,$D14&gt;P$7),1,0)</x:f>
        <x:v>0</x:v>
      </x:c>
      <x:c r="Q14" s="31" t="n">
        <x:f>IF(AND($C14&lt;Q$8,$D14&gt;Q$7),1,0)</x:f>
        <x:v>0</x:v>
      </x:c>
      <x:c r="R14" s="31" t="n">
        <x:f>IF(AND($C14&lt;R$8,$D14&gt;R$7),1,0)</x:f>
        <x:v>0</x:v>
      </x:c>
    </x:row>
    <x:row r="15" ht="46" customHeight="1">
      <x:c r="A15" s="35" t="n">
        <x:f>Cronograma!A13</x:f>
        <x:v>7</x:v>
      </x:c>
      <x:c r="B15" s="13" t="str">
        <x:f>Cronograma!B13</x:f>
        <x:v>Persistencia y DER</x:v>
      </x:c>
      <x:c r="C15" s="14" t="n">
        <x:f>Cronograma!C13</x:f>
        <x:v>46310</x:v>
      </x:c>
      <x:c r="D15" s="14" t="n">
        <x:f>Cronograma!D13</x:f>
        <x:v>46317</x:v>
      </x:c>
      <x:c r="E15" s="12" t="n">
        <x:f>Cronograma!E13</x:f>
        <x:v>7</x:v>
      </x:c>
      <x:c r="F15" s="12" t="str">
        <x:f>IF(Cronograma!F13="Completada","Completada","Planificada")</x:f>
        <x:v>Planificada</x:v>
      </x:c>
      <x:c r="G15" s="9"/>
      <x:c r="H15" s="31" t="n">
        <x:f>IF(AND($C15&lt;H$8,$D15&gt;H$7),1,0)</x:f>
        <x:v>0</x:v>
      </x:c>
      <x:c r="I15" s="31" t="n">
        <x:f>IF(AND($C15&lt;I$8,$D15&gt;I$7),1,0)</x:f>
        <x:v>0</x:v>
      </x:c>
      <x:c r="J15" s="31" t="n">
        <x:f>IF(AND($C15&lt;J$8,$D15&gt;J$7),1,0)</x:f>
        <x:v>0</x:v>
      </x:c>
      <x:c r="K15" s="31" t="n">
        <x:f>IF(AND($C15&lt;K$8,$D15&gt;K$7),1,0)</x:f>
        <x:v>0</x:v>
      </x:c>
      <x:c r="L15" s="31" t="n">
        <x:f>IF(AND($C15&lt;L$8,$D15&gt;L$7),1,0)</x:f>
        <x:v>0</x:v>
      </x:c>
      <x:c r="M15" s="31" t="n">
        <x:f>IF(AND($C15&lt;M$8,$D15&gt;M$7),1,0)</x:f>
        <x:v>0</x:v>
      </x:c>
      <x:c r="N15" s="31" t="n">
        <x:f>IF(AND($C15&lt;N$8,$D15&gt;N$7),1,0)</x:f>
        <x:v>1</x:v>
      </x:c>
      <x:c r="O15" s="31" t="n">
        <x:f>IF(AND($C15&lt;O$8,$D15&gt;O$7),1,0)</x:f>
        <x:v>0</x:v>
      </x:c>
      <x:c r="P15" s="31" t="n">
        <x:f>IF(AND($C15&lt;P$8,$D15&gt;P$7),1,0)</x:f>
        <x:v>0</x:v>
      </x:c>
      <x:c r="Q15" s="31" t="n">
        <x:f>IF(AND($C15&lt;Q$8,$D15&gt;Q$7),1,0)</x:f>
        <x:v>0</x:v>
      </x:c>
      <x:c r="R15" s="31" t="n">
        <x:f>IF(AND($C15&lt;R$8,$D15&gt;R$7),1,0)</x:f>
        <x:v>0</x:v>
      </x:c>
    </x:row>
    <x:row r="16" ht="46" customHeight="1">
      <x:c r="A16" s="36" t="n">
        <x:f>Cronograma!A14</x:f>
        <x:v>8</x:v>
      </x:c>
      <x:c r="B16" s="33" t="str">
        <x:f>Cronograma!B14</x:f>
        <x:v>Historial y actualización</x:v>
      </x:c>
      <x:c r="C16" s="34" t="n">
        <x:f>Cronograma!C14</x:f>
        <x:v>46317</x:v>
      </x:c>
      <x:c r="D16" s="34" t="n">
        <x:f>Cronograma!D14</x:f>
        <x:v>46324</x:v>
      </x:c>
      <x:c r="E16" s="32" t="n">
        <x:f>Cronograma!E14</x:f>
        <x:v>7</x:v>
      </x:c>
      <x:c r="F16" s="32" t="str">
        <x:f>IF(Cronograma!F14="Completada","Completada","Planificada")</x:f>
        <x:v>Planificada</x:v>
      </x:c>
      <x:c r="G16" s="9"/>
      <x:c r="H16" s="31" t="n">
        <x:f>IF(AND($C16&lt;H$8,$D16&gt;H$7),1,0)</x:f>
        <x:v>0</x:v>
      </x:c>
      <x:c r="I16" s="31" t="n">
        <x:f>IF(AND($C16&lt;I$8,$D16&gt;I$7),1,0)</x:f>
        <x:v>0</x:v>
      </x:c>
      <x:c r="J16" s="31" t="n">
        <x:f>IF(AND($C16&lt;J$8,$D16&gt;J$7),1,0)</x:f>
        <x:v>0</x:v>
      </x:c>
      <x:c r="K16" s="31" t="n">
        <x:f>IF(AND($C16&lt;K$8,$D16&gt;K$7),1,0)</x:f>
        <x:v>0</x:v>
      </x:c>
      <x:c r="L16" s="31" t="n">
        <x:f>IF(AND($C16&lt;L$8,$D16&gt;L$7),1,0)</x:f>
        <x:v>0</x:v>
      </x:c>
      <x:c r="M16" s="31" t="n">
        <x:f>IF(AND($C16&lt;M$8,$D16&gt;M$7),1,0)</x:f>
        <x:v>0</x:v>
      </x:c>
      <x:c r="N16" s="31" t="n">
        <x:f>IF(AND($C16&lt;N$8,$D16&gt;N$7),1,0)</x:f>
        <x:v>0</x:v>
      </x:c>
      <x:c r="O16" s="31" t="n">
        <x:f>IF(AND($C16&lt;O$8,$D16&gt;O$7),1,0)</x:f>
        <x:v>1</x:v>
      </x:c>
      <x:c r="P16" s="31" t="n">
        <x:f>IF(AND($C16&lt;P$8,$D16&gt;P$7),1,0)</x:f>
        <x:v>0</x:v>
      </x:c>
      <x:c r="Q16" s="31" t="n">
        <x:f>IF(AND($C16&lt;Q$8,$D16&gt;Q$7),1,0)</x:f>
        <x:v>0</x:v>
      </x:c>
      <x:c r="R16" s="31" t="n">
        <x:f>IF(AND($C16&lt;R$8,$D16&gt;R$7),1,0)</x:f>
        <x:v>0</x:v>
      </x:c>
    </x:row>
    <x:row r="17" ht="46" customHeight="1">
      <x:c r="A17" s="35" t="n">
        <x:f>Cronograma!A15</x:f>
        <x:v>9</x:v>
      </x:c>
      <x:c r="B17" s="13" t="str">
        <x:f>Cronograma!B15</x:f>
        <x:v>Usuarios y favoritos</x:v>
      </x:c>
      <x:c r="C17" s="14" t="n">
        <x:f>Cronograma!C15</x:f>
        <x:v>46324</x:v>
      </x:c>
      <x:c r="D17" s="14" t="n">
        <x:f>Cronograma!D15</x:f>
        <x:v>46331</x:v>
      </x:c>
      <x:c r="E17" s="12" t="n">
        <x:f>Cronograma!E15</x:f>
        <x:v>7</x:v>
      </x:c>
      <x:c r="F17" s="12" t="str">
        <x:f>IF(Cronograma!F15="Completada","Completada","Planificada")</x:f>
        <x:v>Planificada</x:v>
      </x:c>
      <x:c r="G17" s="9"/>
      <x:c r="H17" s="31" t="n">
        <x:f>IF(AND($C17&lt;H$8,$D17&gt;H$7),1,0)</x:f>
        <x:v>0</x:v>
      </x:c>
      <x:c r="I17" s="31" t="n">
        <x:f>IF(AND($C17&lt;I$8,$D17&gt;I$7),1,0)</x:f>
        <x:v>0</x:v>
      </x:c>
      <x:c r="J17" s="31" t="n">
        <x:f>IF(AND($C17&lt;J$8,$D17&gt;J$7),1,0)</x:f>
        <x:v>0</x:v>
      </x:c>
      <x:c r="K17" s="31" t="n">
        <x:f>IF(AND($C17&lt;K$8,$D17&gt;K$7),1,0)</x:f>
        <x:v>0</x:v>
      </x:c>
      <x:c r="L17" s="31" t="n">
        <x:f>IF(AND($C17&lt;L$8,$D17&gt;L$7),1,0)</x:f>
        <x:v>0</x:v>
      </x:c>
      <x:c r="M17" s="31" t="n">
        <x:f>IF(AND($C17&lt;M$8,$D17&gt;M$7),1,0)</x:f>
        <x:v>0</x:v>
      </x:c>
      <x:c r="N17" s="31" t="n">
        <x:f>IF(AND($C17&lt;N$8,$D17&gt;N$7),1,0)</x:f>
        <x:v>0</x:v>
      </x:c>
      <x:c r="O17" s="31" t="n">
        <x:f>IF(AND($C17&lt;O$8,$D17&gt;O$7),1,0)</x:f>
        <x:v>0</x:v>
      </x:c>
      <x:c r="P17" s="31" t="n">
        <x:f>IF(AND($C17&lt;P$8,$D17&gt;P$7),1,0)</x:f>
        <x:v>1</x:v>
      </x:c>
      <x:c r="Q17" s="31" t="n">
        <x:f>IF(AND($C17&lt;Q$8,$D17&gt;Q$7),1,0)</x:f>
        <x:v>0</x:v>
      </x:c>
      <x:c r="R17" s="31" t="n">
        <x:f>IF(AND($C17&lt;R$8,$D17&gt;R$7),1,0)</x:f>
        <x:v>0</x:v>
      </x:c>
    </x:row>
    <x:row r="18" ht="46" customHeight="1">
      <x:c r="A18" s="36" t="n">
        <x:f>Cronograma!A16</x:f>
        <x:v>10</x:v>
      </x:c>
      <x:c r="B18" s="33" t="str">
        <x:f>Cronograma!B16</x:f>
        <x:v>Alertas y pruebas</x:v>
      </x:c>
      <x:c r="C18" s="34" t="n">
        <x:f>Cronograma!C16</x:f>
        <x:v>46331</x:v>
      </x:c>
      <x:c r="D18" s="34" t="n">
        <x:f>Cronograma!D16</x:f>
        <x:v>46338</x:v>
      </x:c>
      <x:c r="E18" s="32" t="n">
        <x:f>Cronograma!E16</x:f>
        <x:v>7</x:v>
      </x:c>
      <x:c r="F18" s="32" t="str">
        <x:f>IF(Cronograma!F16="Completada","Completada","Planificada")</x:f>
        <x:v>Planificada</x:v>
      </x:c>
      <x:c r="G18" s="9"/>
      <x:c r="H18" s="31" t="n">
        <x:f>IF(AND($C18&lt;H$8,$D18&gt;H$7),1,0)</x:f>
        <x:v>0</x:v>
      </x:c>
      <x:c r="I18" s="31" t="n">
        <x:f>IF(AND($C18&lt;I$8,$D18&gt;I$7),1,0)</x:f>
        <x:v>0</x:v>
      </x:c>
      <x:c r="J18" s="31" t="n">
        <x:f>IF(AND($C18&lt;J$8,$D18&gt;J$7),1,0)</x:f>
        <x:v>0</x:v>
      </x:c>
      <x:c r="K18" s="31" t="n">
        <x:f>IF(AND($C18&lt;K$8,$D18&gt;K$7),1,0)</x:f>
        <x:v>0</x:v>
      </x:c>
      <x:c r="L18" s="31" t="n">
        <x:f>IF(AND($C18&lt;L$8,$D18&gt;L$7),1,0)</x:f>
        <x:v>0</x:v>
      </x:c>
      <x:c r="M18" s="31" t="n">
        <x:f>IF(AND($C18&lt;M$8,$D18&gt;M$7),1,0)</x:f>
        <x:v>0</x:v>
      </x:c>
      <x:c r="N18" s="31" t="n">
        <x:f>IF(AND($C18&lt;N$8,$D18&gt;N$7),1,0)</x:f>
        <x:v>0</x:v>
      </x:c>
      <x:c r="O18" s="31" t="n">
        <x:f>IF(AND($C18&lt;O$8,$D18&gt;O$7),1,0)</x:f>
        <x:v>0</x:v>
      </x:c>
      <x:c r="P18" s="31" t="n">
        <x:f>IF(AND($C18&lt;P$8,$D18&gt;P$7),1,0)</x:f>
        <x:v>0</x:v>
      </x:c>
      <x:c r="Q18" s="31" t="n">
        <x:f>IF(AND($C18&lt;Q$8,$D18&gt;Q$7),1,0)</x:f>
        <x:v>1</x:v>
      </x:c>
      <x:c r="R18" s="31" t="n">
        <x:f>IF(AND($C18&lt;R$8,$D18&gt;R$7),1,0)</x:f>
        <x:v>0</x:v>
      </x:c>
    </x:row>
    <x:row r="19" ht="46" customHeight="1">
      <x:c r="A19" s="35" t="n">
        <x:f>Cronograma!A17</x:f>
        <x:v>11</x:v>
      </x:c>
      <x:c r="B19" s="13" t="str">
        <x:f>Cronograma!B17</x:f>
        <x:v>Cierre y entrega</x:v>
      </x:c>
      <x:c r="C19" s="14" t="n">
        <x:f>Cronograma!C17</x:f>
        <x:v>46338</x:v>
      </x:c>
      <x:c r="D19" s="14" t="n">
        <x:f>Cronograma!D17</x:f>
        <x:v>46345</x:v>
      </x:c>
      <x:c r="E19" s="12" t="n">
        <x:f>Cronograma!E17</x:f>
        <x:v>7</x:v>
      </x:c>
      <x:c r="F19" s="12" t="str">
        <x:f>IF(Cronograma!F17="Completada","Completada","Planificada")</x:f>
        <x:v>Planificada</x:v>
      </x:c>
      <x:c r="G19" s="9"/>
      <x:c r="H19" s="31" t="n">
        <x:f>IF(AND($C19&lt;H$8,$D19&gt;H$7),1,0)</x:f>
        <x:v>0</x:v>
      </x:c>
      <x:c r="I19" s="31" t="n">
        <x:f>IF(AND($C19&lt;I$8,$D19&gt;I$7),1,0)</x:f>
        <x:v>0</x:v>
      </x:c>
      <x:c r="J19" s="31" t="n">
        <x:f>IF(AND($C19&lt;J$8,$D19&gt;J$7),1,0)</x:f>
        <x:v>0</x:v>
      </x:c>
      <x:c r="K19" s="31" t="n">
        <x:f>IF(AND($C19&lt;K$8,$D19&gt;K$7),1,0)</x:f>
        <x:v>0</x:v>
      </x:c>
      <x:c r="L19" s="31" t="n">
        <x:f>IF(AND($C19&lt;L$8,$D19&gt;L$7),1,0)</x:f>
        <x:v>0</x:v>
      </x:c>
      <x:c r="M19" s="31" t="n">
        <x:f>IF(AND($C19&lt;M$8,$D19&gt;M$7),1,0)</x:f>
        <x:v>0</x:v>
      </x:c>
      <x:c r="N19" s="31" t="n">
        <x:f>IF(AND($C19&lt;N$8,$D19&gt;N$7),1,0)</x:f>
        <x:v>0</x:v>
      </x:c>
      <x:c r="O19" s="31" t="n">
        <x:f>IF(AND($C19&lt;O$8,$D19&gt;O$7),1,0)</x:f>
        <x:v>0</x:v>
      </x:c>
      <x:c r="P19" s="31" t="n">
        <x:f>IF(AND($C19&lt;P$8,$D19&gt;P$7),1,0)</x:f>
        <x:v>0</x:v>
      </x:c>
      <x:c r="Q19" s="31" t="n">
        <x:f>IF(AND($C19&lt;Q$8,$D19&gt;Q$7),1,0)</x:f>
        <x:v>0</x:v>
      </x:c>
      <x:c r="R19" s="31" t="n">
        <x:f>IF(AND($C19&lt;R$8,$D19&gt;R$7),1,0)</x:f>
        <x:v>1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37" t="str">
        <x:v>Cada columna es un período semanal [inicio, fin): la fecha final es el límite compartido con la semana siguiente.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37" t="str">
        <x:v>Para ajustar fechas o actividades, editar Cronograma. Las barras se actualizan a partir de sus fechas.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37" t="str">
        <x:v>No se agregaron dependencias ni porcentajes de avance que no figuran en el cronograma original.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</x:sheetData>
  <x:conditionalFormatting sqref="H9:R19">
    <x:cfRule type="expression" dxfId="0" priority="1">
      <x:formula>AND(H9=1,$F9="Completada")</x:formula>
    </x:cfRule>
    <x:cfRule type="expression" dxfId="1" priority="2">
      <x:formula>AND(H9=1,$F9&lt;&gt;"Completada")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B1B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.130000114440918" hidden="0" customWidth="1"/>
    <x:col min="2" max="2" width="25.6299991607666" hidden="0" customWidth="1"/>
    <x:col min="3" max="3" width="13.130000114440918" hidden="0" customWidth="1"/>
    <x:col min="4" max="4" width="13.130000114440918" hidden="0" customWidth="1"/>
    <x:col min="5" max="5" width="7.5" hidden="0" customWidth="1"/>
    <x:col min="6" max="6" width="24.3799991607666" hidden="0" customWidth="1"/>
    <x:col min="7" max="7" width="7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Cronograma de trabajo de AuraPrices</x:v>
      </x:c>
      <x:c r="B2" s="1"/>
      <x:c r="C2" s="1"/>
      <x:c r="D2" s="1"/>
      <x:c r="E2" s="1"/>
      <x:c r="F2" s="1"/>
      <x:c r="G2" s="1"/>
    </x:row>
    <x:row r="3">
      <x:c r="A3" s="1" t="str">
        <x:v>Fuente: docs/drive/Cronograma de trabajo - AuraPrices.docx</x:v>
      </x:c>
      <x:c r="B3" s="1"/>
      <x:c r="C3" s="1"/>
      <x:c r="D3" s="1"/>
      <x:c r="E3" s="1"/>
      <x:c r="F3" s="1"/>
      <x:c r="G3" s="1"/>
    </x:row>
    <x:row r="4">
      <x:c r="A4" s="1" t="str">
        <x:v>Plan del 03/09 al 19/11/2026. Fechas y actividades del documento original.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8" customHeight="1">
      <x:c r="A6" s="8" t="str">
        <x:v>Semana</x:v>
      </x:c>
      <x:c r="B6" s="8" t="str">
        <x:v>Fase resumida</x:v>
      </x:c>
      <x:c r="C6" s="8" t="str">
        <x:v>Inicio</x:v>
      </x:c>
      <x:c r="D6" s="8" t="str">
        <x:v>Fin / límite</x:v>
      </x:c>
      <x:c r="E6" s="8" t="str">
        <x:v>Días</x:v>
      </x:c>
      <x:c r="F6" s="8" t="str">
        <x:v>Estado y fase (fuente)</x:v>
      </x:c>
      <x:c r="G6" s="8" t="str">
        <x:v>Actividad y entregable</x:v>
      </x:c>
    </x:row>
    <x:row r="7" ht="88" customHeight="1">
      <x:c r="A7" s="12" t="n">
        <x:v>1</x:v>
      </x:c>
      <x:c r="B7" s="13" t="str">
        <x:v>Relevamiento y requisitos</x:v>
      </x:c>
      <x:c r="C7" s="14" t="d">
        <x:v>2026-09-03T00:00:00.000Z</x:v>
      </x:c>
      <x:c r="D7" s="14" t="d">
        <x:v>2026-09-10T00:00:00.000Z</x:v>
      </x:c>
      <x:c r="E7" s="12" t="n">
        <x:f>D7-C7</x:f>
        <x:v>7</x:v>
      </x:c>
      <x:c r="F7" s="13" t="str">
        <x:v>Completada</x:v>
      </x:c>
      <x:c r="G7" s="13" t="str">
        <x:v>Relevamiento del problema, requisitos, fuentes candidatas, alcance inicial y definición del MVP.</x:v>
      </x:c>
    </x:row>
    <x:row r="8" ht="88" customHeight="1">
      <x:c r="A8" s="9" t="n">
        <x:v>2</x:v>
      </x:c>
      <x:c r="B8" s="11" t="str">
        <x:v>Arquitectura y stack</x:v>
      </x:c>
      <x:c r="C8" s="10" t="d">
        <x:v>2026-09-10T00:00:00.000Z</x:v>
      </x:c>
      <x:c r="D8" s="10" t="d">
        <x:v>2026-09-17T00:00:00.000Z</x:v>
      </x:c>
      <x:c r="E8" s="9" t="n">
        <x:f>D8-C8</x:f>
        <x:v>7</x:v>
      </x:c>
      <x:c r="F8" s="11" t="str">
        <x:v>Completada</x:v>
      </x:c>
      <x:c r="G8" s="11" t="str">
        <x:v>Arquitectura inicial, responsabilidades de frontend, backend y base de datos, selección del stack y flujo general.</x:v>
      </x:c>
    </x:row>
    <x:row r="9" ht="88" customHeight="1">
      <x:c r="A9" s="12" t="n">
        <x:v>3</x:v>
      </x:c>
      <x:c r="B9" s="13" t="str">
        <x:v>Backend e integración ITAD</x:v>
      </x:c>
      <x:c r="C9" s="14" t="d">
        <x:v>2026-09-17T00:00:00.000Z</x:v>
      </x:c>
      <x:c r="D9" s="14" t="d">
        <x:v>2026-09-24T00:00:00.000Z</x:v>
      </x:c>
      <x:c r="E9" s="12" t="n">
        <x:f>D9-C9</x:f>
        <x:v>7</x:v>
      </x:c>
      <x:c r="F9" s="13" t="str">
        <x:v>Completada</x:v>
      </x:c>
      <x:c r="G9" s="13" t="str">
        <x:v>Repositorio Git, backend Express, módulos ES, variables de entorno, selección de ITAD y rutas funcionales de búsqueda y precios.</x:v>
      </x:c>
    </x:row>
    <x:row r="10" ht="88" customHeight="1">
      <x:c r="A10" s="9" t="n">
        <x:v>4</x:v>
      </x:c>
      <x:c r="B10" s="11" t="str">
        <x:v>API, base de datos y Prisma</x:v>
      </x:c>
      <x:c r="C10" s="10" t="d">
        <x:v>2026-09-24T00:00:00.000Z</x:v>
      </x:c>
      <x:c r="D10" s="10" t="d">
        <x:v>2026-10-01T00:00:00.000Z</x:v>
      </x:c>
      <x:c r="E10" s="9" t="n">
        <x:f>D10-C10</x:f>
        <x:v>7</x:v>
      </x:c>
      <x:c r="F10" s="11" t="str">
        <x:v>Completada</x:v>
      </x:c>
      <x:c r="G10" s="11" t="str">
        <x:v>Analizar API de ITAD en profundidad, definir rutas, crear base de datos, implementar Prisma.</x:v>
      </x:c>
    </x:row>
    <x:row r="11" ht="88" customHeight="1">
      <x:c r="A11" s="12" t="n">
        <x:v>5</x:v>
      </x:c>
      <x:c r="B11" s="13" t="str">
        <x:v>Frontend y buscador</x:v>
      </x:c>
      <x:c r="C11" s="14" t="d">
        <x:v>2026-10-01T00:00:00.000Z</x:v>
      </x:c>
      <x:c r="D11" s="14" t="d">
        <x:v>2026-10-08T00:00:00.000Z</x:v>
      </x:c>
      <x:c r="E11" s="12" t="n">
        <x:f>D11-C11</x:f>
        <x:v>7</x:v>
      </x:c>
      <x:c r="F11" s="13" t="str">
        <x:v>Completada</x:v>
      </x:c>
      <x:c r="G11" s="13" t="str">
        <x:v>Crear React con Vite, implementar buscador, estados de carga y error, y conectar la búsqueda con el backend.</x:v>
      </x:c>
    </x:row>
    <x:row r="12" ht="88" customHeight="1">
      <x:c r="A12" s="9" t="n">
        <x:v>6</x:v>
      </x:c>
      <x:c r="B12" s="11" t="str">
        <x:v>Resultados y comparación</x:v>
      </x:c>
      <x:c r="C12" s="10" t="d">
        <x:v>2026-10-08T00:00:00.000Z</x:v>
      </x:c>
      <x:c r="D12" s="10" t="d">
        <x:v>2026-10-15T00:00:00.000Z</x:v>
      </x:c>
      <x:c r="E12" s="9" t="n">
        <x:f>D12-C12</x:f>
        <x:v>7</x:v>
      </x:c>
      <x:c r="F12" s="11" t="str">
        <x:v>Completada</x:v>
      </x:c>
      <x:c r="G12" s="11" t="str">
        <x:v>Crear resultados, ficha del juego, tabla de ofertas, descuentos y enlaces. Validar regiones US y AR.</x:v>
      </x:c>
    </x:row>
    <x:row r="13" ht="88" customHeight="1">
      <x:c r="A13" s="12" t="n">
        <x:v>7</x:v>
      </x:c>
      <x:c r="B13" s="13" t="str">
        <x:v>Persistencia y DER</x:v>
      </x:c>
      <x:c r="C13" s="14" t="d">
        <x:v>2026-10-15T00:00:00.000Z</x:v>
      </x:c>
      <x:c r="D13" s="14" t="d">
        <x:v>2026-10-22T00:00:00.000Z</x:v>
      </x:c>
      <x:c r="E13" s="12" t="n">
        <x:f>D13-C13</x:f>
        <x:v>7</x:v>
      </x:c>
      <x:c r="F13" s="13" t="str">
        <x:v>Persistencia</x:v>
      </x:c>
      <x:c r="G13" s="13" t="str">
        <x:v>Configurar PostgreSQL y Prisma. Diseñar el DER de usuarios, juegos seleccionados, favoritos, alertas e historial.</x:v>
      </x:c>
    </x:row>
    <x:row r="14" ht="88" customHeight="1">
      <x:c r="A14" s="9" t="n">
        <x:v>8</x:v>
      </x:c>
      <x:c r="B14" s="11" t="str">
        <x:v>Historial y actualización</x:v>
      </x:c>
      <x:c r="C14" s="10" t="d">
        <x:v>2026-10-22T00:00:00.000Z</x:v>
      </x:c>
      <x:c r="D14" s="10" t="d">
        <x:v>2026-10-29T00:00:00.000Z</x:v>
      </x:c>
      <x:c r="E14" s="9" t="n">
        <x:f>D14-C14</x:f>
        <x:v>7</x:v>
      </x:c>
      <x:c r="F14" s="11" t="str">
        <x:v>Historial y actualización</x:v>
      </x:c>
      <x:c r="G14" s="11" t="str">
        <x:v>Guardar observaciones de precios, consultar historial, crear gráfico inicial e implementar actualización diaria sencilla.</x:v>
      </x:c>
    </x:row>
    <x:row r="15" ht="88" customHeight="1">
      <x:c r="A15" s="12" t="n">
        <x:v>9</x:v>
      </x:c>
      <x:c r="B15" s="13" t="str">
        <x:v>Usuarios y favoritos</x:v>
      </x:c>
      <x:c r="C15" s="14" t="d">
        <x:v>2026-10-29T00:00:00.000Z</x:v>
      </x:c>
      <x:c r="D15" s="14" t="d">
        <x:v>2026-11-05T00:00:00.000Z</x:v>
      </x:c>
      <x:c r="E15" s="12" t="n">
        <x:f>D15-C15</x:f>
        <x:v>7</x:v>
      </x:c>
      <x:c r="F15" s="13" t="str">
        <x:v>Usuarios y favoritos</x:v>
      </x:c>
      <x:c r="G15" s="13" t="str">
        <x:v>Implementar registro, inicio de sesión, protección básica de rutas y lista de favoritos.</x:v>
      </x:c>
    </x:row>
    <x:row r="16" ht="88" customHeight="1">
      <x:c r="A16" s="9" t="n">
        <x:v>10</x:v>
      </x:c>
      <x:c r="B16" s="11" t="str">
        <x:v>Alertas y pruebas</x:v>
      </x:c>
      <x:c r="C16" s="10" t="d">
        <x:v>2026-11-05T00:00:00.000Z</x:v>
      </x:c>
      <x:c r="D16" s="10" t="d">
        <x:v>2026-11-12T00:00:00.000Z</x:v>
      </x:c>
      <x:c r="E16" s="9" t="n">
        <x:f>D16-C16</x:f>
        <x:v>7</x:v>
      </x:c>
      <x:c r="F16" s="11" t="str">
        <x:v>Alertas y pruebas</x:v>
      </x:c>
      <x:c r="G16" s="11" t="str">
        <x:v>Configurar alertas de precio, evaluar una notificación gratuita viable y realizar pruebas de integración.</x:v>
      </x:c>
    </x:row>
    <x:row r="17" ht="88" customHeight="1">
      <x:c r="A17" s="12" t="n">
        <x:v>11</x:v>
      </x:c>
      <x:c r="B17" s="13" t="str">
        <x:v>Cierre y entrega</x:v>
      </x:c>
      <x:c r="C17" s="14" t="d">
        <x:v>2026-11-12T00:00:00.000Z</x:v>
      </x:c>
      <x:c r="D17" s="14" t="d">
        <x:v>2026-11-19T00:00:00.000Z</x:v>
      </x:c>
      <x:c r="E17" s="12" t="n">
        <x:f>D17-C17</x:f>
        <x:v>7</x:v>
      </x:c>
      <x:c r="F17" s="13" t="str">
        <x:v>Cierre y entrega</x:v>
      </x:c>
      <x:c r="G17" s="13" t="str">
        <x:v>Corregir errores, verificar seguridad, completar documentación técnica y manual, desplegar y preparar la demostración.</x:v>
      </x:c>
    </x:row>
    <x:row r="18">
      <x:c r="A18" s="1"/>
      <x:c r="B18" s="1"/>
      <x:c r="C18" s="1"/>
      <x:c r="D18" s="1"/>
      <x:c r="E18" s="1"/>
      <x:c r="F18" s="1"/>
      <x:c r="G18" s="1"/>
    </x:row>
    <x:row r="19">
      <x:c r="A19" s="1" t="str">
        <x:v>Los estados se transcriben de la fuente; no representan una nueva verificación del avance.</x:v>
      </x:c>
      <x:c r="B19" s="1"/>
      <x:c r="C19" s="1"/>
      <x:c r="D19" s="1"/>
      <x:c r="E19" s="1"/>
      <x:c r="F19" s="1"/>
      <x:c r="G19" s="1"/>
    </x:row>
  </x:sheetData>
  <x:pageMargins left="0.7" right="0.7" top="0.75" bottom="0.75" header="0.3" footer="0.3"/>
</x:worksheet>
</file>